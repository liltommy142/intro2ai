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" sheetId="1" r:id="rId5"/>
  </sheets>
  <definedNames/>
  <calcPr/>
</workbook>
</file>

<file path=xl/sharedStrings.xml><?xml version="1.0" encoding="utf-8"?>
<sst xmlns="http://schemas.openxmlformats.org/spreadsheetml/2006/main" count="316" uniqueCount="202">
  <si>
    <t>Dấu thời gian</t>
  </si>
  <si>
    <t>Địa chỉ email</t>
  </si>
  <si>
    <t>Your class:</t>
  </si>
  <si>
    <t>Team name:</t>
  </si>
  <si>
    <t>Publication title:</t>
  </si>
  <si>
    <t>Publication year:</t>
  </si>
  <si>
    <t>Publication month:</t>
  </si>
  <si>
    <t>Publication venue:</t>
  </si>
  <si>
    <t>Official link:</t>
  </si>
  <si>
    <t>Open-access link:</t>
  </si>
  <si>
    <t>Quality of the publication:</t>
  </si>
  <si>
    <t>Proof of quality:</t>
  </si>
  <si>
    <t>Status</t>
  </si>
  <si>
    <t>Comments</t>
  </si>
  <si>
    <t>Month time</t>
  </si>
  <si>
    <t>Required citations</t>
  </si>
  <si>
    <t>nhnam2428@clc.fitus.edu.vn</t>
  </si>
  <si>
    <t>24C04</t>
  </si>
  <si>
    <t>Aerichandesu</t>
  </si>
  <si>
    <t>V-JEPA: Video Joint Embedding Predictive Architecture</t>
  </si>
  <si>
    <t>International Conference on Learning Representations (ICLR)</t>
  </si>
  <si>
    <t>https://openreview.net/forum?id=WFYbBOEOtv</t>
  </si>
  <si>
    <t>https://openreview.net/pdf?id=WFYbBOEOtv</t>
  </si>
  <si>
    <t>A*</t>
  </si>
  <si>
    <t>https://portal.core.edu.au/conf-ranks/2273/</t>
  </si>
  <si>
    <t>Accepted</t>
  </si>
  <si>
    <t>nhnminh2406@clc.fitus.edu.vn</t>
  </si>
  <si>
    <t>NODECERD</t>
  </si>
  <si>
    <t>PhysGaussian: Physics-Integrated 3D Gaussians for Generative Dynamics</t>
  </si>
  <si>
    <t>IEEE/CVF Conference on Computer Vision and Pattern Recognition (CVPR)</t>
  </si>
  <si>
    <t>https://openaccess.thecvf.com/content/CVPR2024/papers/Xie_PhysGaussian_Physics-Integrated_3D_Gaussians_for_Generative_Dynamics_CVPR_2024_paper.pdf</t>
  </si>
  <si>
    <t>https://arxiv.org/abs/2311.12198</t>
  </si>
  <si>
    <t>https://portal.core.edu.au/conf-ranks/46/</t>
  </si>
  <si>
    <t>Link quality nhầm hội nghị rồi</t>
  </si>
  <si>
    <t>vtkkhoi22@clc.fitus.edu.vn</t>
  </si>
  <si>
    <t>24C05</t>
  </si>
  <si>
    <t>Meo</t>
  </si>
  <si>
    <t>TRANSIC: Sim-to-Real Policy Transfer by Learning from Online Correction</t>
  </si>
  <si>
    <t>Conference on Robot Learning (CoRL)</t>
  </si>
  <si>
    <t>https://openreview.net/forum?id=lpjPft4RQT</t>
  </si>
  <si>
    <t>https://scholar.google.com/citations?view_op=view_citation&amp;hl=en&amp;user=-bqvNWoAAAAJ&amp;citation_for_view=-bqvNWoAAAAJ:SeFeTyx0c_EC</t>
  </si>
  <si>
    <t>dthien2426@clc.fitus.edu.vn</t>
  </si>
  <si>
    <t>Mixi</t>
  </si>
  <si>
    <t>Particulate: Feed-Forward 3D Object Articulation</t>
  </si>
  <si>
    <t>https://openaccess.thecvf.com/content/CVPR2026/html/Li_Particulate_Feed-Forward_3D_Object_Articulation_CVPR_2026_paper.html</t>
  </si>
  <si>
    <t>https://openaccess.thecvf.com/content/CVPR2026/papers/Li_Particulate_Feed-Forward_3D_Object_Articulation_CVPR_2026_paper.pdf</t>
  </si>
  <si>
    <t>https://portal.core.edu.au/conf-ranks/604/</t>
  </si>
  <si>
    <t>hmhuy2428@clc.fitus.edu.vn</t>
  </si>
  <si>
    <t>AIO</t>
  </si>
  <si>
    <t>Genie: Generative Interactive Environments</t>
  </si>
  <si>
    <t>International Conference on Machine Learning (ICML)</t>
  </si>
  <si>
    <t>https://openreview.net/forum?id=eZrrcBj5lW</t>
  </si>
  <si>
    <t>https://arxiv.org/abs/2402.15391</t>
  </si>
  <si>
    <t>https://portal.core.edu.au/conf-ranks/1121/</t>
  </si>
  <si>
    <t>nvnthuan2410@clc.fitus.edu.vn</t>
  </si>
  <si>
    <t>TVS</t>
  </si>
  <si>
    <t>Efficient Diffusion Models: A Survey</t>
  </si>
  <si>
    <t>arxiv</t>
  </si>
  <si>
    <t>https://openreview.net/forum?id=wHECkBOwyt</t>
  </si>
  <si>
    <t>https://arxiv.org/abs/2502.06805</t>
  </si>
  <si>
    <t>https://scholar.google.com/scholar?cites=1916312689542152721&amp;as_sdt=2005&amp;sciodt=0,5&amp;hl=en</t>
  </si>
  <si>
    <t>Rejected</t>
  </si>
  <si>
    <t>Venue là Journal TMLR, Q1 nhưng phổ quá rộng, mang tính chung chung nhiều quá -&gt; tìm bài nào cụ thể hơn</t>
  </si>
  <si>
    <t>24127108@student.hcmus.edu.vn</t>
  </si>
  <si>
    <t>EightEyes</t>
  </si>
  <si>
    <t>MultiPhys: Multi-Person Physics-aware 3D Motion Estimation</t>
  </si>
  <si>
    <t>https://openaccess.thecvf.com/content/CVPR2024/html/Ugrinovic_MultiPhys_Multi-Person_Physics-aware_3D_Motion_Estimation_CVPR_2024_paper.html</t>
  </si>
  <si>
    <t>tmphong2420@clc.fitus.edu.vn</t>
  </si>
  <si>
    <t>KimJongUnfanclubinVietNam</t>
  </si>
  <si>
    <t>Video2Robo: 3DGS-based Synthetic Data from One Video Enables Scalable Robot Learning</t>
  </si>
  <si>
    <t>https://openaccess.thecvf.com/content/CVPR2026/html/Deng_Video2Robo_3DGS-based_Synthetic_Data_from_One_Video_Enables_Scalable_Robot_CVPR_2026_paper.html</t>
  </si>
  <si>
    <t>thpthinh2414@clc.fitus.edu.vn</t>
  </si>
  <si>
    <t>LoR</t>
  </si>
  <si>
    <t>FlowTrack: Revisiting Optical Flow for Long-Range Dense Tracking</t>
  </si>
  <si>
    <t>https://openaccess.thecvf.com/content/CVPR2024/html/Cho_FlowTrack_Revisiting_Optical_Flow_for_Long-Range_Dense_Tracking_CVPR_2024_paper.html</t>
  </si>
  <si>
    <t>tvnam2419@clc.fitus.edu.vn</t>
  </si>
  <si>
    <t>YoruNiKakeru</t>
  </si>
  <si>
    <t>AnySkill: Learning Open-Vocabulary Physical Skill for Interactive Agents</t>
  </si>
  <si>
    <t>https://openaccess.thecvf.com/content/CVPR2024/html/Cui_AnySkill_Learning_Open-Vocabulary_Physical_Skill_for_Interactive_Agents_CVPR_2024_paper.html</t>
  </si>
  <si>
    <t>dhphuc2429@clc.fitus.edu.vn</t>
  </si>
  <si>
    <t>Techno Union</t>
  </si>
  <si>
    <t>Self-adaptive search algorithm for path planning based on the A* algorithm</t>
  </si>
  <si>
    <t>Scientific Reports, Springer Nature</t>
  </si>
  <si>
    <t>https://www.nature.com/articles/s41598-025-28847-0</t>
  </si>
  <si>
    <t>Q1</t>
  </si>
  <si>
    <t>https://wos-journal.info/journalid/13280</t>
  </si>
  <si>
    <t>lkquoc2416@clc.fitus.edu.vn</t>
  </si>
  <si>
    <t>NaNaNa</t>
  </si>
  <si>
    <t>VGGT: Visual Geometry Grounded Transformer</t>
  </si>
  <si>
    <t>https://arxiv.org/abs/2503.11651?fbclid=IwY2xjawS2uxpleHRuA2FlbQIxMABicmlkETFWZlRYem5jUlFhWGtHSmxzc3J0YwZhcHBfaWQQMjIyMDM5MTc4ODIwMDg5MgABHoQSOFRQHAtcgNMfliOKsjZ3-Vxnm0mjgUPxHj89k1qEP82g8W7N6okvQfVF_aem_H0LQg34G5OptqTXBI_84bQ</t>
  </si>
  <si>
    <t>google.com/url?q=https://portal.core.edu.au/conf-ranks/604/&amp;sa=D&amp;source=editors&amp;ust=1783227961267201&amp;usg=AOvVaw1zD6Ir_jYBkQpQSrN57LOE</t>
  </si>
  <si>
    <t>dnnam2433@clc.fitus.edu.vn</t>
  </si>
  <si>
    <t>ProjectMoon</t>
  </si>
  <si>
    <t>SAM 2: Segment Anything in Images and Videos</t>
  </si>
  <si>
    <t>International Conference on Learning Representations 2025</t>
  </si>
  <si>
    <t>https://openreview.net/forum?id=Ha6RTeWMd0&amp;noteId=fxbBSPSQCH</t>
  </si>
  <si>
    <t>htngan2421@clc.fitus.edu.vn</t>
  </si>
  <si>
    <t>2StepsAhead</t>
  </si>
  <si>
    <t>MedYOLO: A Medical Image Object Detection Framework</t>
  </si>
  <si>
    <t>Journal of Imaging Informatics in Medicine, Springer</t>
  </si>
  <si>
    <t>https://doi.org/10.1007/s10278-024-01138-2</t>
  </si>
  <si>
    <t>https://arxiv.org/abs/2312.07729</t>
  </si>
  <si>
    <t>https://scholar.google.com/scholar?q=10.1007/s10278-024-01138-2&amp;hl=vi&amp;as_sdt=0,5#d=gs_qabs&amp;t=1783236161776&amp;u=%23p%3DMWBGdc0Z6kkJ</t>
  </si>
  <si>
    <t>Không liên quan đến theme Physical AI -&gt; tìm bài khác liên quan hơn</t>
  </si>
  <si>
    <t>lpnnam2424@clc.fitus.edu.vn</t>
  </si>
  <si>
    <t>SteveJobs</t>
  </si>
  <si>
    <t>Visual Imitation Enables Contextual Humanoid Control</t>
  </si>
  <si>
    <t>https://openreview.net/forum?id=C6VxzSpjrv#discussion</t>
  </si>
  <si>
    <t>https://scholar.google.com/citations?view_op=view_citation&amp;hl=vi&amp;user=TqsW7qMAAAAJ&amp;citation_for_view=TqsW7qMAAAAJ:3fE2CSJIrl8C</t>
  </si>
  <si>
    <t>ntminh2435@clc.fitus.edu.vn</t>
  </si>
  <si>
    <t>Tarnished</t>
  </si>
  <si>
    <t>World Models on Pre-Trained Visual Features Enable Zero-Shot Planning</t>
  </si>
  <si>
    <t>International Conference on Machine Learning (ICLM) (ICML)</t>
  </si>
  <si>
    <t>https://openreview.net/forum?id=D5RNACOZEI</t>
  </si>
  <si>
    <t>https://arxiv.org/abs/2411.04983</t>
  </si>
  <si>
    <t>nhtien2435@clc.fitus.edu.vn</t>
  </si>
  <si>
    <t xml:space="preserve">  Three-Body Problem</t>
  </si>
  <si>
    <t>VisEvent: Reliable Object Tracking via Collaboration of Frame and Event Flows</t>
  </si>
  <si>
    <t>IEEE Transactions on Cybernetics</t>
  </si>
  <si>
    <t>https://doi.org/10.1109/TCYB.2025.3536165</t>
  </si>
  <si>
    <t>https://arxiv.org/pdf/2108.05015</t>
  </si>
  <si>
    <t>https://wos-journal.info/journalid/200</t>
  </si>
  <si>
    <t>datpham21120062@gmail.com</t>
  </si>
  <si>
    <t>M</t>
  </si>
  <si>
    <t>Depth Anything: Unleashing the Power of Large-Scale Unlabeled Data</t>
  </si>
  <si>
    <t>https://cvpr.thecvf.com/virtual/2024/poster/30176</t>
  </si>
  <si>
    <t>vhdkhoi2432@clc.fitus.edu.vn</t>
  </si>
  <si>
    <t>ATK</t>
  </si>
  <si>
    <t>OK-Robot: What Really Matters in Integrating Open-Knowledge Models for Robotics</t>
  </si>
  <si>
    <t>IEEE International Conference on Robotics and Automation (ICRA)</t>
  </si>
  <si>
    <t>https://arxiv.org/abs/2401.12202</t>
  </si>
  <si>
    <t>https://portal.core.edu.au/conf-ranks/2051/</t>
  </si>
  <si>
    <t>Dùng submit mới hơn</t>
  </si>
  <si>
    <t>ntnanh2419@clc.fitus.edu.vn</t>
  </si>
  <si>
    <t>Robotics: Science and Systems 2024</t>
  </si>
  <si>
    <t>https://www.roboticsproceedings.org/rss20/p091.pdf</t>
  </si>
  <si>
    <t>https://scholar.google.com/citations?user=-XXb1xwAAAAJ&amp;hl=en&amp;oi=sra</t>
  </si>
  <si>
    <t>Các nhóm khác nhớ để link Google Scholar tới paper chứ không phải tác giả</t>
  </si>
  <si>
    <t>vbthang2422@clc.fitus.edu.vn</t>
  </si>
  <si>
    <t>LIE</t>
  </si>
  <si>
    <t>Generative Image Dynamics</t>
  </si>
  <si>
    <t>https://openaccess.thecvf.com/content/CVPR2024/papers/Li_Generative_Image_Dynamics_CVPR_2024_paper.pdf</t>
  </si>
  <si>
    <t>https://openaccess.thecvf.com/content/CVPR2024/html/Li_Generative_Image_Dynamics_CVPR_2024_paper.html</t>
  </si>
  <si>
    <t>vvmphu2425@clc.fitus.edu.vn</t>
  </si>
  <si>
    <t>Uranus</t>
  </si>
  <si>
    <t>3D-VLA: A 3D Vision-Language-Action Generative World Model</t>
  </si>
  <si>
    <t>https://proceedings.mlr.press/v235/zhen24a.html</t>
  </si>
  <si>
    <t>ntdat2428@clc.fitus.edu.vn</t>
  </si>
  <si>
    <t>UniDepth: Universal Monocular Metric Depth Estimation</t>
  </si>
  <si>
    <t>IEEE/CVF Conference on Computer Vision and Pattern Recognition (CVPR)d</t>
  </si>
  <si>
    <t>https://openaccess.thecvf.com/content/CVPR2024/html/Piccinelli_UniDepth_Universal_Monocular_Metric_Depth_Estimation_CVPR_2024_paper.html</t>
  </si>
  <si>
    <t>openaccess.thecvf.com</t>
  </si>
  <si>
    <t>pqtuan19@clc.fitus.edu.vn</t>
  </si>
  <si>
    <t>A-Star</t>
  </si>
  <si>
    <t>DUSt3R: Geometric 3D Vision Made Easy</t>
  </si>
  <si>
    <t>https://openaccess.thecvf.com/content/CVPR2024/html/Wang_DUSt3R_Geometric_3D_Vision_Made_Easy_CVPR_2024_paper.html</t>
  </si>
  <si>
    <t>lmhoang18@clc.fitus.edu.vn</t>
  </si>
  <si>
    <t>Max Verstappen</t>
  </si>
  <si>
    <t>Gaussian Splatting SLAM</t>
  </si>
  <si>
    <t>https://openaccess.thecvf.com/content/CVPR2024/html/Matsuki_Gaussian_Splatting_SLAM_CVPR_2024_paper.html</t>
  </si>
  <si>
    <t>https://arxiv.org/abs/2312.06741</t>
  </si>
  <si>
    <t>cdvan2427@clc.fitus.edu.vn</t>
  </si>
  <si>
    <t>Satellite Videos Object Tracking Based on Enhanced Correlation Filter With Motion Prediction Network</t>
  </si>
  <si>
    <t>IEEE Journal of Selected Topics in Applied Earth Observations and Remote Sensing</t>
  </si>
  <si>
    <t>https://ieeexplore.ieee.org/document/10582298</t>
  </si>
  <si>
    <t>https://wos-journal.info/journalid/13537</t>
  </si>
  <si>
    <t>Reviewing</t>
  </si>
  <si>
    <t>nhghieu22@clc.fitus.edu.vnn</t>
  </si>
  <si>
    <t>A</t>
  </si>
  <si>
    <t>3D Gaussian Splatting for Real-Time Radiance Field Rendering</t>
  </si>
  <si>
    <t>ACM Transactions on Graphics, Association for Computing Machinery</t>
  </si>
  <si>
    <t>https://dl.acm.org/doi/10.1145/3592433</t>
  </si>
  <si>
    <t>https://wos-journal.info/journalid/563</t>
  </si>
  <si>
    <t>ngcu2421@clc.fitus.edu.vn</t>
  </si>
  <si>
    <t>MU</t>
  </si>
  <si>
    <t>LightGlue: Local Feature Matching at Light Speed</t>
  </si>
  <si>
    <t>International Conference on Computer Vision (ICCV)</t>
  </si>
  <si>
    <t>https://openaccess.thecvf.com/content/ICCV2023/html/Lindenberger_LightGlue_Local_Feature_Matching_at_Light_Speed_ICCV_2023_paper.html</t>
  </si>
  <si>
    <t>https://portal.core.edu.au/conf-ranks/638/</t>
  </si>
  <si>
    <t>dlplinh2414@clc.fitus.edu.vn</t>
  </si>
  <si>
    <t>SVT</t>
  </si>
  <si>
    <t>OpenVLA: An Open-Source Vision-Language-Action Model</t>
  </si>
  <si>
    <t>https://openreview.net/forum?id=ZMnD6QZAE6</t>
  </si>
  <si>
    <t>https://arxiv.org/pdf/2406.09246</t>
  </si>
  <si>
    <t>https://scholar.google.com/scholar?as_vis=1&amp;q=OpenVLA:+An+Open-Source+Vision-Language-Action+Model&amp;hl=vi&amp;as_sdt=0,5</t>
  </si>
  <si>
    <t>npmng2413@clc.fitus.edu.vn</t>
  </si>
  <si>
    <t>NKT</t>
  </si>
  <si>
    <t>VoxPoser: Composable 3D Value Maps for Robotic Manipulation with Language Models</t>
  </si>
  <si>
    <t>https://proceedings.mlr.press/v229/huang23b.html</t>
  </si>
  <si>
    <t>https://scholar.google.com/scholar?cites=7844573100140075704&amp;as_sdt=2005&amp;sciodt=0,5&amp;hl=vi</t>
  </si>
  <si>
    <t>Ghi nhầm tháng - venue?</t>
  </si>
  <si>
    <t>nthtruc2411@clc.fitus.edu.vn</t>
  </si>
  <si>
    <t>Ctrl+AI</t>
  </si>
  <si>
    <t>MVTracker: Multi-View 3D Point Tracking</t>
  </si>
  <si>
    <t>IEEE/CVF International Conference on Computer Vision (ICCV)</t>
  </si>
  <si>
    <t>https://openaccess.thecvf.com/content/ICCV2025/html/Rajic_Multi-View_3D_Point_Tracking_ICCV_2025_paper.html</t>
  </si>
  <si>
    <t>nkngan2411@clc.fitus.edu.vn</t>
  </si>
  <si>
    <t>NeuroCore</t>
  </si>
  <si>
    <t>YOLO-World: Real-Time Open-Vocabulary Object Detection</t>
  </si>
  <si>
    <t>https://openaccess.thecvf.com/content/CVPR2024/html/Cheng_YOLO-World_Real-Time_Open-Vocabulary_Object_Detection_CVPR_2024_paper.html?utm_source=chatgpt.com</t>
  </si>
  <si>
    <t>https://openaccess.thecvf.com/content/CVPR2024/html/Cheng_YOLO-World_Real-Time_Open-Vocabulary_Object_Detection_CVPR_2024_paper.html</t>
  </si>
  <si>
    <t>https://portal.core.edu.au/conf-ranks/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</si>
</sst>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gistra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34" displayName="Form_Responses" name="Form_Responses" id="1">
  <tableColumns count="16">
    <tableColumn name="Dấu thời gian" id="1"/>
    <tableColumn name="Địa chỉ email" id="2"/>
    <tableColumn name="Your class:" id="3"/>
    <tableColumn name="Team name:" id="4"/>
    <tableColumn name="Publication title:" id="5"/>
    <tableColumn name="Publication year:" id="6"/>
    <tableColumn name="Publication month:" id="7"/>
    <tableColumn name="Publication venue:" id="8"/>
    <tableColumn name="Official link:" id="9"/>
    <tableColumn name="Open-access link:" id="10"/>
    <tableColumn name="Quality of the publication:" id="11"/>
    <tableColumn name="Proof of quality:" id="12"/>
    <tableColumn name="Status" id="13"/>
    <tableColumn name="Comments" id="14"/>
    <tableColumn name="Month time" id="15"/>
    <tableColumn name="Required citations" id="16"/>
  </tableColumns>
  <tableStyleInfo name="Registr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ortal.core.edu.au/conf-ranks/46/" TargetMode="External"/><Relationship Id="rId42" Type="http://schemas.openxmlformats.org/officeDocument/2006/relationships/hyperlink" Target="https://arxiv.org/pdf/2108.05015" TargetMode="External"/><Relationship Id="rId41" Type="http://schemas.openxmlformats.org/officeDocument/2006/relationships/hyperlink" Target="https://doi.org/10.1109/TCYB.2025.3536165" TargetMode="External"/><Relationship Id="rId44" Type="http://schemas.openxmlformats.org/officeDocument/2006/relationships/hyperlink" Target="https://cvpr.thecvf.com/virtual/2024/poster/30176" TargetMode="External"/><Relationship Id="rId43" Type="http://schemas.openxmlformats.org/officeDocument/2006/relationships/hyperlink" Target="https://wos-journal.info/journalid/200" TargetMode="External"/><Relationship Id="rId46" Type="http://schemas.openxmlformats.org/officeDocument/2006/relationships/hyperlink" Target="https://arxiv.org/abs/2401.12202" TargetMode="External"/><Relationship Id="rId45" Type="http://schemas.openxmlformats.org/officeDocument/2006/relationships/hyperlink" Target="https://portal.core.edu.au/conf-ranks/604/" TargetMode="External"/><Relationship Id="rId81" Type="http://schemas.openxmlformats.org/officeDocument/2006/relationships/table" Target="../tables/table1.xml"/><Relationship Id="rId1" Type="http://schemas.openxmlformats.org/officeDocument/2006/relationships/hyperlink" Target="https://openreview.net/forum?id=WFYbBOEOtv" TargetMode="External"/><Relationship Id="rId2" Type="http://schemas.openxmlformats.org/officeDocument/2006/relationships/hyperlink" Target="https://openreview.net/pdf?id=WFYbBOEOtv" TargetMode="External"/><Relationship Id="rId3" Type="http://schemas.openxmlformats.org/officeDocument/2006/relationships/hyperlink" Target="https://portal.core.edu.au/conf-ranks/2273/" TargetMode="External"/><Relationship Id="rId4" Type="http://schemas.openxmlformats.org/officeDocument/2006/relationships/hyperlink" Target="https://openaccess.thecvf.com/content/CVPR2024/papers/Xie_PhysGaussian_Physics-Integrated_3D_Gaussians_for_Generative_Dynamics_CVPR_2024_paper.pdf" TargetMode="External"/><Relationship Id="rId9" Type="http://schemas.openxmlformats.org/officeDocument/2006/relationships/hyperlink" Target="https://openaccess.thecvf.com/content/CVPR2026/html/Li_Particulate_Feed-Forward_3D_Object_Articulation_CVPR_2026_paper.html" TargetMode="External"/><Relationship Id="rId48" Type="http://schemas.openxmlformats.org/officeDocument/2006/relationships/hyperlink" Target="https://www.roboticsproceedings.org/rss20/p091.pdf" TargetMode="External"/><Relationship Id="rId47" Type="http://schemas.openxmlformats.org/officeDocument/2006/relationships/hyperlink" Target="https://portal.core.edu.au/conf-ranks/2051/" TargetMode="External"/><Relationship Id="rId49" Type="http://schemas.openxmlformats.org/officeDocument/2006/relationships/hyperlink" Target="https://scholar.google.com/citations?user=-XXb1xwAAAAJ&amp;hl=en&amp;oi=sra" TargetMode="External"/><Relationship Id="rId5" Type="http://schemas.openxmlformats.org/officeDocument/2006/relationships/hyperlink" Target="https://arxiv.org/abs/2311.12198" TargetMode="External"/><Relationship Id="rId6" Type="http://schemas.openxmlformats.org/officeDocument/2006/relationships/hyperlink" Target="https://portal.core.edu.au/conf-ranks/46/" TargetMode="External"/><Relationship Id="rId7" Type="http://schemas.openxmlformats.org/officeDocument/2006/relationships/hyperlink" Target="https://openreview.net/forum?id=lpjPft4RQT" TargetMode="External"/><Relationship Id="rId8" Type="http://schemas.openxmlformats.org/officeDocument/2006/relationships/hyperlink" Target="https://scholar.google.com/citations?view_op=view_citation&amp;hl=en&amp;user=-bqvNWoAAAAJ&amp;citation_for_view=-bqvNWoAAAAJ:SeFeTyx0c_EC" TargetMode="External"/><Relationship Id="rId73" Type="http://schemas.openxmlformats.org/officeDocument/2006/relationships/hyperlink" Target="https://scholar.google.com/scholar?cites=7844573100140075704&amp;as_sdt=2005&amp;sciodt=0,5&amp;hl=vi" TargetMode="External"/><Relationship Id="rId72" Type="http://schemas.openxmlformats.org/officeDocument/2006/relationships/hyperlink" Target="https://proceedings.mlr.press/v229/huang23b.html" TargetMode="External"/><Relationship Id="rId31" Type="http://schemas.openxmlformats.org/officeDocument/2006/relationships/hyperlink" Target="https://openreview.net/forum?id=Ha6RTeWMd0&amp;noteId=fxbBSPSQCH" TargetMode="External"/><Relationship Id="rId75" Type="http://schemas.openxmlformats.org/officeDocument/2006/relationships/hyperlink" Target="https://portal.core.edu.au/conf-ranks/638/" TargetMode="External"/><Relationship Id="rId30" Type="http://schemas.openxmlformats.org/officeDocument/2006/relationships/hyperlink" Target="http://google.com/url?q=https://portal.core.edu.au/conf-ranks/604/&amp;sa=D&amp;source=editors&amp;ust=1783227961267201&amp;usg=AOvVaw1zD6Ir_jYBkQpQSrN57LOE" TargetMode="External"/><Relationship Id="rId74" Type="http://schemas.openxmlformats.org/officeDocument/2006/relationships/hyperlink" Target="https://openaccess.thecvf.com/content/ICCV2025/html/Rajic_Multi-View_3D_Point_Tracking_ICCV_2025_paper.html" TargetMode="External"/><Relationship Id="rId33" Type="http://schemas.openxmlformats.org/officeDocument/2006/relationships/hyperlink" Target="https://doi.org/10.1007/s10278-024-01138-2" TargetMode="External"/><Relationship Id="rId77" Type="http://schemas.openxmlformats.org/officeDocument/2006/relationships/hyperlink" Target="https://openaccess.thecvf.com/content/CVPR2024/html/Cheng_YOLO-World_Real-Time_Open-Vocabulary_Object_Detection_CVPR_2024_paper.html" TargetMode="External"/><Relationship Id="rId32" Type="http://schemas.openxmlformats.org/officeDocument/2006/relationships/hyperlink" Target="https://portal.core.edu.au/conf-ranks/2273/" TargetMode="External"/><Relationship Id="rId76" Type="http://schemas.openxmlformats.org/officeDocument/2006/relationships/hyperlink" Target="https://openaccess.thecvf.com/content/CVPR2024/html/Cheng_YOLO-World_Real-Time_Open-Vocabulary_Object_Detection_CVPR_2024_paper.html?utm_source=chatgpt.com" TargetMode="External"/><Relationship Id="rId35" Type="http://schemas.openxmlformats.org/officeDocument/2006/relationships/hyperlink" Target="https://scholar.google.com/scholar?q=10.1007/s10278-024-01138-2&amp;hl=vi&amp;as_sdt=0,5" TargetMode="External"/><Relationship Id="rId79" Type="http://schemas.openxmlformats.org/officeDocument/2006/relationships/drawing" Target="../drawings/drawing1.xml"/><Relationship Id="rId34" Type="http://schemas.openxmlformats.org/officeDocument/2006/relationships/hyperlink" Target="https://arxiv.org/abs/2312.07729" TargetMode="External"/><Relationship Id="rId78" Type="http://schemas.openxmlformats.org/officeDocument/2006/relationships/hyperlink" Target="https://portal.core.edu.au/conf-ranks/" TargetMode="External"/><Relationship Id="rId71" Type="http://schemas.openxmlformats.org/officeDocument/2006/relationships/hyperlink" Target="https://scholar.google.com/scholar?as_vis=1&amp;q=OpenVLA:+An+Open-Source+Vision-Language-Action+Model&amp;hl=vi&amp;as_sdt=0,5" TargetMode="External"/><Relationship Id="rId70" Type="http://schemas.openxmlformats.org/officeDocument/2006/relationships/hyperlink" Target="https://arxiv.org/pdf/2406.09246" TargetMode="External"/><Relationship Id="rId37" Type="http://schemas.openxmlformats.org/officeDocument/2006/relationships/hyperlink" Target="https://scholar.google.com/citations?view_op=view_citation&amp;hl=vi&amp;user=TqsW7qMAAAAJ&amp;citation_for_view=TqsW7qMAAAAJ:3fE2CSJIrl8C" TargetMode="External"/><Relationship Id="rId36" Type="http://schemas.openxmlformats.org/officeDocument/2006/relationships/hyperlink" Target="https://openreview.net/forum?id=C6VxzSpjrv" TargetMode="External"/><Relationship Id="rId39" Type="http://schemas.openxmlformats.org/officeDocument/2006/relationships/hyperlink" Target="https://arxiv.org/abs/2411.04983" TargetMode="External"/><Relationship Id="rId38" Type="http://schemas.openxmlformats.org/officeDocument/2006/relationships/hyperlink" Target="https://openreview.net/forum?id=D5RNACOZEI" TargetMode="External"/><Relationship Id="rId62" Type="http://schemas.openxmlformats.org/officeDocument/2006/relationships/hyperlink" Target="https://portal.core.edu.au/conf-ranks/604/" TargetMode="External"/><Relationship Id="rId61" Type="http://schemas.openxmlformats.org/officeDocument/2006/relationships/hyperlink" Target="https://arxiv.org/abs/2312.06741" TargetMode="External"/><Relationship Id="rId20" Type="http://schemas.openxmlformats.org/officeDocument/2006/relationships/hyperlink" Target="https://openaccess.thecvf.com/content/CVPR2026/html/Deng_Video2Robo_3DGS-based_Synthetic_Data_from_One_Video_Enables_Scalable_Robot_CVPR_2026_paper.html" TargetMode="External"/><Relationship Id="rId64" Type="http://schemas.openxmlformats.org/officeDocument/2006/relationships/hyperlink" Target="https://wos-journal.info/journalid/13537" TargetMode="External"/><Relationship Id="rId63" Type="http://schemas.openxmlformats.org/officeDocument/2006/relationships/hyperlink" Target="https://ieeexplore.ieee.org/document/10582298" TargetMode="External"/><Relationship Id="rId22" Type="http://schemas.openxmlformats.org/officeDocument/2006/relationships/hyperlink" Target="https://portal.core.edu.au/conf-ranks/604/" TargetMode="External"/><Relationship Id="rId66" Type="http://schemas.openxmlformats.org/officeDocument/2006/relationships/hyperlink" Target="https://wos-journal.info/journalid/563" TargetMode="External"/><Relationship Id="rId21" Type="http://schemas.openxmlformats.org/officeDocument/2006/relationships/hyperlink" Target="https://openaccess.thecvf.com/content/CVPR2026/html/Deng_Video2Robo_3DGS-based_Synthetic_Data_from_One_Video_Enables_Scalable_Robot_CVPR_2026_paper.html" TargetMode="External"/><Relationship Id="rId65" Type="http://schemas.openxmlformats.org/officeDocument/2006/relationships/hyperlink" Target="https://dl.acm.org/doi/10.1145/3592433" TargetMode="External"/><Relationship Id="rId24" Type="http://schemas.openxmlformats.org/officeDocument/2006/relationships/hyperlink" Target="https://portal.core.edu.au/conf-ranks/604/" TargetMode="External"/><Relationship Id="rId68" Type="http://schemas.openxmlformats.org/officeDocument/2006/relationships/hyperlink" Target="https://portal.core.edu.au/conf-ranks/638/" TargetMode="External"/><Relationship Id="rId23" Type="http://schemas.openxmlformats.org/officeDocument/2006/relationships/hyperlink" Target="https://openaccess.thecvf.com/content/CVPR2024/html/Cho_FlowTrack_Revisiting_Optical_Flow_for_Long-Range_Dense_Tracking_CVPR_2024_paper.html" TargetMode="External"/><Relationship Id="rId67" Type="http://schemas.openxmlformats.org/officeDocument/2006/relationships/hyperlink" Target="https://openaccess.thecvf.com/content/ICCV2023/html/Lindenberger_LightGlue_Local_Feature_Matching_at_Light_Speed_ICCV_2023_paper.html" TargetMode="External"/><Relationship Id="rId60" Type="http://schemas.openxmlformats.org/officeDocument/2006/relationships/hyperlink" Target="https://openaccess.thecvf.com/content/CVPR2024/html/Matsuki_Gaussian_Splatting_SLAM_CVPR_2024_paper.html" TargetMode="External"/><Relationship Id="rId26" Type="http://schemas.openxmlformats.org/officeDocument/2006/relationships/hyperlink" Target="https://portal.core.edu.au/conf-ranks/604/" TargetMode="External"/><Relationship Id="rId25" Type="http://schemas.openxmlformats.org/officeDocument/2006/relationships/hyperlink" Target="https://openaccess.thecvf.com/content/CVPR2024/html/Cui_AnySkill_Learning_Open-Vocabulary_Physical_Skill_for_Interactive_Agents_CVPR_2024_paper.html" TargetMode="External"/><Relationship Id="rId69" Type="http://schemas.openxmlformats.org/officeDocument/2006/relationships/hyperlink" Target="https://openreview.net/forum?id=ZMnD6QZAE6" TargetMode="External"/><Relationship Id="rId28" Type="http://schemas.openxmlformats.org/officeDocument/2006/relationships/hyperlink" Target="https://wos-journal.info/journalid/13280" TargetMode="External"/><Relationship Id="rId27" Type="http://schemas.openxmlformats.org/officeDocument/2006/relationships/hyperlink" Target="https://www.nature.com/articles/s41598-025-28847-0" TargetMode="External"/><Relationship Id="rId29" Type="http://schemas.openxmlformats.org/officeDocument/2006/relationships/hyperlink" Target="https://arxiv.org/abs/2503.11651?fbclid=IwY2xjawS2uxpleHRuA2FlbQIxMABicmlkETFWZlRYem5jUlFhWGtHSmxzc3J0YwZhcHBfaWQQMjIyMDM5MTc4ODIwMDg5MgABHoQSOFRQHAtcgNMfliOKsjZ3-Vxnm0mjgUPxHj89k1qEP82g8W7N6okvQfVF_aem_H0LQg34G5OptqTXBI_84bQ" TargetMode="External"/><Relationship Id="rId51" Type="http://schemas.openxmlformats.org/officeDocument/2006/relationships/hyperlink" Target="https://openaccess.thecvf.com/content/CVPR2024/html/Li_Generative_Image_Dynamics_CVPR_2024_paper.html" TargetMode="External"/><Relationship Id="rId50" Type="http://schemas.openxmlformats.org/officeDocument/2006/relationships/hyperlink" Target="https://openaccess.thecvf.com/content/CVPR2024/papers/Li_Generative_Image_Dynamics_CVPR_2024_paper.pdf" TargetMode="External"/><Relationship Id="rId53" Type="http://schemas.openxmlformats.org/officeDocument/2006/relationships/hyperlink" Target="https://proceedings.mlr.press/v235/zhen24a.html" TargetMode="External"/><Relationship Id="rId52" Type="http://schemas.openxmlformats.org/officeDocument/2006/relationships/hyperlink" Target="https://portal.core.edu.au/conf-ranks/604/" TargetMode="External"/><Relationship Id="rId11" Type="http://schemas.openxmlformats.org/officeDocument/2006/relationships/hyperlink" Target="https://portal.core.edu.au/conf-ranks/604/" TargetMode="External"/><Relationship Id="rId55" Type="http://schemas.openxmlformats.org/officeDocument/2006/relationships/hyperlink" Target="https://openaccess.thecvf.com/content/CVPR2024/html/Piccinelli_UniDepth_Universal_Monocular_Metric_Depth_Estimation_CVPR_2024_paper.html" TargetMode="External"/><Relationship Id="rId10" Type="http://schemas.openxmlformats.org/officeDocument/2006/relationships/hyperlink" Target="https://openaccess.thecvf.com/content/CVPR2026/papers/Li_Particulate_Feed-Forward_3D_Object_Articulation_CVPR_2026_paper.pdf" TargetMode="External"/><Relationship Id="rId54" Type="http://schemas.openxmlformats.org/officeDocument/2006/relationships/hyperlink" Target="https://portal.core.edu.au/conf-ranks/1121/" TargetMode="External"/><Relationship Id="rId13" Type="http://schemas.openxmlformats.org/officeDocument/2006/relationships/hyperlink" Target="https://arxiv.org/abs/2402.15391" TargetMode="External"/><Relationship Id="rId57" Type="http://schemas.openxmlformats.org/officeDocument/2006/relationships/hyperlink" Target="https://portal.core.edu.au/conf-ranks/604/" TargetMode="External"/><Relationship Id="rId12" Type="http://schemas.openxmlformats.org/officeDocument/2006/relationships/hyperlink" Target="https://openreview.net/forum?id=eZrrcBj5lW" TargetMode="External"/><Relationship Id="rId56" Type="http://schemas.openxmlformats.org/officeDocument/2006/relationships/hyperlink" Target="http://openaccess.thecvf.com" TargetMode="External"/><Relationship Id="rId15" Type="http://schemas.openxmlformats.org/officeDocument/2006/relationships/hyperlink" Target="https://openreview.net/forum?id=wHECkBOwyt" TargetMode="External"/><Relationship Id="rId59" Type="http://schemas.openxmlformats.org/officeDocument/2006/relationships/hyperlink" Target="https://portal.core.edu.au/conf-ranks/604/" TargetMode="External"/><Relationship Id="rId14" Type="http://schemas.openxmlformats.org/officeDocument/2006/relationships/hyperlink" Target="https://portal.core.edu.au/conf-ranks/1121/" TargetMode="External"/><Relationship Id="rId58" Type="http://schemas.openxmlformats.org/officeDocument/2006/relationships/hyperlink" Target="https://openaccess.thecvf.com/content/CVPR2024/html/Wang_DUSt3R_Geometric_3D_Vision_Made_Easy_CVPR_2024_paper.html" TargetMode="External"/><Relationship Id="rId17" Type="http://schemas.openxmlformats.org/officeDocument/2006/relationships/hyperlink" Target="https://scholar.google.com/scholar?cites=1916312689542152721&amp;as_sdt=2005&amp;sciodt=0,5&amp;hl=en" TargetMode="External"/><Relationship Id="rId16" Type="http://schemas.openxmlformats.org/officeDocument/2006/relationships/hyperlink" Target="https://arxiv.org/abs/2502.06805" TargetMode="External"/><Relationship Id="rId19" Type="http://schemas.openxmlformats.org/officeDocument/2006/relationships/hyperlink" Target="https://portal.core.edu.au/conf-ranks/604/" TargetMode="External"/><Relationship Id="rId18" Type="http://schemas.openxmlformats.org/officeDocument/2006/relationships/hyperlink" Target="https://openaccess.thecvf.com/content/CVPR2024/html/Ugrinovic_MultiPhys_Multi-Person_Physics-aware_3D_Motion_Estimation_CVPR_2024_pape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2" width="18.88"/>
    <col customWidth="1" min="3" max="3" width="7.88"/>
    <col customWidth="1" min="4" max="4" width="19.25"/>
    <col customWidth="1" min="5" max="5" width="33.0"/>
    <col customWidth="1" min="6" max="6" width="6.75"/>
    <col customWidth="1" min="7" max="7" width="5.88"/>
    <col customWidth="1" min="8" max="8" width="27.75"/>
    <col customWidth="1" min="9" max="10" width="18.88"/>
    <col customWidth="1" min="11" max="11" width="6.0"/>
    <col customWidth="1" min="12" max="13" width="18.88"/>
    <col customWidth="1" min="14" max="14" width="28.5"/>
    <col customWidth="1" hidden="1" min="15" max="15" width="14.0"/>
    <col customWidth="1" min="16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4" t="s">
        <v>14</v>
      </c>
      <c r="P1" s="4" t="s">
        <v>15</v>
      </c>
    </row>
    <row r="2" ht="22.5" customHeight="1">
      <c r="A2" s="5">
        <v>46185.84301197917</v>
      </c>
      <c r="B2" s="6" t="s">
        <v>16</v>
      </c>
      <c r="C2" s="6" t="s">
        <v>17</v>
      </c>
      <c r="D2" s="6" t="s">
        <v>18</v>
      </c>
      <c r="E2" s="6" t="s">
        <v>19</v>
      </c>
      <c r="F2" s="6">
        <v>2024.0</v>
      </c>
      <c r="H2" s="6" t="s">
        <v>20</v>
      </c>
      <c r="I2" s="7" t="s">
        <v>21</v>
      </c>
      <c r="J2" s="7" t="s">
        <v>22</v>
      </c>
      <c r="K2" s="6" t="s">
        <v>23</v>
      </c>
      <c r="L2" s="7" t="s">
        <v>24</v>
      </c>
      <c r="M2" s="8" t="s">
        <v>25</v>
      </c>
      <c r="N2" s="9"/>
      <c r="O2" s="10">
        <f t="shared" ref="O2:O34" si="1">DATEDIF(DATE(F2, G2, 1), TODAY(), "M")</f>
        <v>31</v>
      </c>
      <c r="P2" s="10">
        <f>Form_Responses[Month time]*2</f>
        <v>62</v>
      </c>
    </row>
    <row r="3" ht="22.5" customHeight="1">
      <c r="A3" s="5">
        <v>46201.473791435186</v>
      </c>
      <c r="B3" s="6" t="s">
        <v>26</v>
      </c>
      <c r="C3" s="6" t="s">
        <v>17</v>
      </c>
      <c r="D3" s="6" t="s">
        <v>27</v>
      </c>
      <c r="E3" s="6" t="s">
        <v>28</v>
      </c>
      <c r="F3" s="6">
        <v>2024.0</v>
      </c>
      <c r="G3" s="6">
        <v>6.0</v>
      </c>
      <c r="H3" s="6" t="s">
        <v>29</v>
      </c>
      <c r="I3" s="7" t="s">
        <v>30</v>
      </c>
      <c r="J3" s="7" t="s">
        <v>31</v>
      </c>
      <c r="K3" s="6" t="s">
        <v>23</v>
      </c>
      <c r="L3" s="7" t="s">
        <v>32</v>
      </c>
      <c r="M3" s="8" t="s">
        <v>25</v>
      </c>
      <c r="N3" s="9" t="s">
        <v>33</v>
      </c>
      <c r="O3" s="10">
        <f t="shared" si="1"/>
        <v>25</v>
      </c>
      <c r="P3" s="10">
        <f>Form_Responses[Month time]*2</f>
        <v>50</v>
      </c>
    </row>
    <row r="4" ht="22.5" customHeight="1">
      <c r="A4" s="5">
        <v>46203.71906195601</v>
      </c>
      <c r="B4" s="6" t="s">
        <v>34</v>
      </c>
      <c r="C4" s="6" t="s">
        <v>35</v>
      </c>
      <c r="D4" s="6" t="s">
        <v>36</v>
      </c>
      <c r="E4" s="6" t="s">
        <v>37</v>
      </c>
      <c r="F4" s="6">
        <v>2024.0</v>
      </c>
      <c r="G4" s="6">
        <v>11.0</v>
      </c>
      <c r="H4" s="6" t="s">
        <v>38</v>
      </c>
      <c r="I4" s="7" t="s">
        <v>39</v>
      </c>
      <c r="K4" s="6">
        <v>86.0</v>
      </c>
      <c r="L4" s="7" t="s">
        <v>40</v>
      </c>
      <c r="M4" s="8" t="s">
        <v>25</v>
      </c>
      <c r="N4" s="9"/>
      <c r="O4" s="10">
        <f t="shared" si="1"/>
        <v>20</v>
      </c>
      <c r="P4" s="10">
        <f>Form_Responses[Month time]*2</f>
        <v>40</v>
      </c>
    </row>
    <row r="5" ht="22.5" customHeight="1">
      <c r="A5" s="5">
        <v>46205.95145521991</v>
      </c>
      <c r="B5" s="6" t="s">
        <v>41</v>
      </c>
      <c r="C5" s="6" t="s">
        <v>17</v>
      </c>
      <c r="D5" s="6" t="s">
        <v>42</v>
      </c>
      <c r="E5" s="6" t="s">
        <v>43</v>
      </c>
      <c r="F5" s="6">
        <v>2026.0</v>
      </c>
      <c r="G5" s="6">
        <v>6.0</v>
      </c>
      <c r="H5" s="6" t="s">
        <v>29</v>
      </c>
      <c r="I5" s="7" t="s">
        <v>44</v>
      </c>
      <c r="J5" s="7" t="s">
        <v>45</v>
      </c>
      <c r="K5" s="6" t="s">
        <v>23</v>
      </c>
      <c r="L5" s="7" t="s">
        <v>46</v>
      </c>
      <c r="M5" s="8" t="s">
        <v>25</v>
      </c>
      <c r="N5" s="11"/>
      <c r="O5" s="10">
        <f t="shared" si="1"/>
        <v>1</v>
      </c>
      <c r="P5" s="10">
        <f>Form_Responses[Month time]*2</f>
        <v>2</v>
      </c>
    </row>
    <row r="6" ht="22.5" customHeight="1">
      <c r="A6" s="5">
        <v>46207.50194909722</v>
      </c>
      <c r="B6" s="6" t="s">
        <v>47</v>
      </c>
      <c r="C6" s="6" t="s">
        <v>35</v>
      </c>
      <c r="D6" s="6" t="s">
        <v>48</v>
      </c>
      <c r="E6" s="6" t="s">
        <v>49</v>
      </c>
      <c r="F6" s="6">
        <v>2024.0</v>
      </c>
      <c r="G6" s="6">
        <v>7.0</v>
      </c>
      <c r="H6" s="6" t="s">
        <v>50</v>
      </c>
      <c r="I6" s="7" t="s">
        <v>51</v>
      </c>
      <c r="J6" s="7" t="s">
        <v>52</v>
      </c>
      <c r="K6" s="6" t="s">
        <v>23</v>
      </c>
      <c r="L6" s="7" t="s">
        <v>53</v>
      </c>
      <c r="M6" s="8" t="s">
        <v>25</v>
      </c>
      <c r="N6" s="11"/>
      <c r="O6" s="10">
        <f t="shared" si="1"/>
        <v>24</v>
      </c>
      <c r="P6" s="10">
        <f>Form_Responses[Month time]*2</f>
        <v>48</v>
      </c>
    </row>
    <row r="7" ht="22.5" customHeight="1">
      <c r="A7" s="5">
        <v>46207.56804371528</v>
      </c>
      <c r="B7" s="6" t="s">
        <v>54</v>
      </c>
      <c r="C7" s="6" t="s">
        <v>35</v>
      </c>
      <c r="D7" s="6" t="s">
        <v>55</v>
      </c>
      <c r="E7" s="6" t="s">
        <v>56</v>
      </c>
      <c r="F7" s="6">
        <v>2025.0</v>
      </c>
      <c r="G7" s="6">
        <v>5.0</v>
      </c>
      <c r="H7" s="6" t="s">
        <v>57</v>
      </c>
      <c r="I7" s="7" t="s">
        <v>58</v>
      </c>
      <c r="J7" s="7" t="s">
        <v>59</v>
      </c>
      <c r="K7" s="6">
        <v>64.0</v>
      </c>
      <c r="L7" s="7" t="s">
        <v>60</v>
      </c>
      <c r="M7" s="8" t="s">
        <v>61</v>
      </c>
      <c r="N7" s="9" t="s">
        <v>62</v>
      </c>
      <c r="O7" s="10">
        <f t="shared" si="1"/>
        <v>14</v>
      </c>
      <c r="P7" s="10">
        <f>Form_Responses[Month time]*2</f>
        <v>28</v>
      </c>
    </row>
    <row r="8" ht="22.5" customHeight="1">
      <c r="A8" s="5">
        <v>46207.73304759259</v>
      </c>
      <c r="B8" s="6" t="s">
        <v>63</v>
      </c>
      <c r="C8" s="6" t="s">
        <v>35</v>
      </c>
      <c r="D8" s="6" t="s">
        <v>64</v>
      </c>
      <c r="E8" s="6" t="s">
        <v>65</v>
      </c>
      <c r="F8" s="6">
        <v>2024.0</v>
      </c>
      <c r="G8" s="6">
        <v>6.0</v>
      </c>
      <c r="H8" s="6" t="s">
        <v>29</v>
      </c>
      <c r="I8" s="7" t="s">
        <v>66</v>
      </c>
      <c r="K8" s="6" t="s">
        <v>23</v>
      </c>
      <c r="L8" s="7" t="s">
        <v>46</v>
      </c>
      <c r="M8" s="8" t="s">
        <v>25</v>
      </c>
      <c r="N8" s="11"/>
      <c r="O8" s="10">
        <f t="shared" si="1"/>
        <v>25</v>
      </c>
      <c r="P8" s="10">
        <f>Form_Responses[Month time]*2</f>
        <v>50</v>
      </c>
    </row>
    <row r="9" ht="22.5" customHeight="1">
      <c r="A9" s="5">
        <v>46208.03511971065</v>
      </c>
      <c r="B9" s="6" t="s">
        <v>67</v>
      </c>
      <c r="C9" s="6" t="s">
        <v>35</v>
      </c>
      <c r="D9" s="6" t="s">
        <v>68</v>
      </c>
      <c r="E9" s="6" t="s">
        <v>69</v>
      </c>
      <c r="F9" s="6">
        <v>2026.0</v>
      </c>
      <c r="G9" s="6">
        <v>5.0</v>
      </c>
      <c r="H9" s="6" t="s">
        <v>29</v>
      </c>
      <c r="I9" s="7" t="s">
        <v>70</v>
      </c>
      <c r="J9" s="7" t="s">
        <v>70</v>
      </c>
      <c r="K9" s="6" t="s">
        <v>23</v>
      </c>
      <c r="L9" s="7" t="s">
        <v>46</v>
      </c>
      <c r="M9" s="8" t="s">
        <v>25</v>
      </c>
      <c r="N9" s="11"/>
      <c r="O9" s="10">
        <f t="shared" si="1"/>
        <v>2</v>
      </c>
      <c r="P9" s="10">
        <f>Form_Responses[Month time]*2</f>
        <v>4</v>
      </c>
    </row>
    <row r="10" ht="22.5" customHeight="1">
      <c r="A10" s="5">
        <v>46208.40906431713</v>
      </c>
      <c r="B10" s="6" t="s">
        <v>71</v>
      </c>
      <c r="C10" s="6" t="s">
        <v>35</v>
      </c>
      <c r="D10" s="6" t="s">
        <v>72</v>
      </c>
      <c r="E10" s="6" t="s">
        <v>73</v>
      </c>
      <c r="F10" s="6">
        <v>2024.0</v>
      </c>
      <c r="G10" s="6">
        <v>6.0</v>
      </c>
      <c r="H10" s="6" t="s">
        <v>29</v>
      </c>
      <c r="I10" s="7" t="s">
        <v>74</v>
      </c>
      <c r="K10" s="6" t="s">
        <v>23</v>
      </c>
      <c r="L10" s="7" t="s">
        <v>46</v>
      </c>
      <c r="M10" s="8" t="s">
        <v>25</v>
      </c>
      <c r="N10" s="11"/>
      <c r="O10" s="10">
        <f t="shared" si="1"/>
        <v>25</v>
      </c>
      <c r="P10" s="10">
        <f>Form_Responses[Month time]*2</f>
        <v>50</v>
      </c>
    </row>
    <row r="11" ht="22.5" customHeight="1">
      <c r="A11" s="5">
        <v>46208.43808635417</v>
      </c>
      <c r="B11" s="6" t="s">
        <v>75</v>
      </c>
      <c r="C11" s="6" t="s">
        <v>35</v>
      </c>
      <c r="D11" s="6" t="s">
        <v>76</v>
      </c>
      <c r="E11" s="6" t="s">
        <v>77</v>
      </c>
      <c r="F11" s="6">
        <v>2024.0</v>
      </c>
      <c r="G11" s="6">
        <v>6.0</v>
      </c>
      <c r="H11" s="6" t="s">
        <v>29</v>
      </c>
      <c r="I11" s="7" t="s">
        <v>78</v>
      </c>
      <c r="K11" s="6" t="s">
        <v>23</v>
      </c>
      <c r="L11" s="7" t="s">
        <v>46</v>
      </c>
      <c r="M11" s="8" t="s">
        <v>25</v>
      </c>
      <c r="N11" s="11"/>
      <c r="O11" s="10">
        <f t="shared" si="1"/>
        <v>25</v>
      </c>
      <c r="P11" s="10">
        <f>Form_Responses[Month time]*2</f>
        <v>50</v>
      </c>
    </row>
    <row r="12" ht="22.5" customHeight="1">
      <c r="A12" s="5">
        <v>46208.45241167824</v>
      </c>
      <c r="B12" s="6" t="s">
        <v>79</v>
      </c>
      <c r="C12" s="6" t="s">
        <v>35</v>
      </c>
      <c r="D12" s="6" t="s">
        <v>80</v>
      </c>
      <c r="E12" s="6" t="s">
        <v>81</v>
      </c>
      <c r="F12" s="6">
        <v>2025.0</v>
      </c>
      <c r="G12" s="6">
        <v>12.0</v>
      </c>
      <c r="H12" s="6" t="s">
        <v>82</v>
      </c>
      <c r="I12" s="7" t="s">
        <v>83</v>
      </c>
      <c r="K12" s="6" t="s">
        <v>84</v>
      </c>
      <c r="L12" s="7" t="s">
        <v>85</v>
      </c>
      <c r="M12" s="8" t="s">
        <v>25</v>
      </c>
      <c r="N12" s="11"/>
      <c r="O12" s="10">
        <f t="shared" si="1"/>
        <v>7</v>
      </c>
      <c r="P12" s="10">
        <f>Form_Responses[Month time]*2</f>
        <v>14</v>
      </c>
    </row>
    <row r="13" ht="22.5" customHeight="1">
      <c r="A13" s="5">
        <v>46208.48499324074</v>
      </c>
      <c r="B13" s="6" t="s">
        <v>86</v>
      </c>
      <c r="C13" s="6" t="s">
        <v>35</v>
      </c>
      <c r="D13" s="6" t="s">
        <v>87</v>
      </c>
      <c r="E13" s="6" t="s">
        <v>88</v>
      </c>
      <c r="F13" s="6">
        <v>2025.0</v>
      </c>
      <c r="G13" s="6">
        <v>6.0</v>
      </c>
      <c r="H13" s="6" t="s">
        <v>29</v>
      </c>
      <c r="I13" s="7" t="s">
        <v>89</v>
      </c>
      <c r="K13" s="6" t="s">
        <v>23</v>
      </c>
      <c r="L13" s="7" t="s">
        <v>90</v>
      </c>
      <c r="M13" s="8" t="s">
        <v>25</v>
      </c>
      <c r="N13" s="11"/>
      <c r="O13" s="10">
        <f t="shared" si="1"/>
        <v>13</v>
      </c>
      <c r="P13" s="10">
        <f>Form_Responses[Month time]*2</f>
        <v>26</v>
      </c>
    </row>
    <row r="14" ht="22.5" customHeight="1">
      <c r="A14" s="5">
        <v>46208.5542681713</v>
      </c>
      <c r="B14" s="6" t="s">
        <v>91</v>
      </c>
      <c r="C14" s="6" t="s">
        <v>35</v>
      </c>
      <c r="D14" s="6" t="s">
        <v>92</v>
      </c>
      <c r="E14" s="6" t="s">
        <v>93</v>
      </c>
      <c r="F14" s="6">
        <v>2025.0</v>
      </c>
      <c r="G14" s="6">
        <v>1.0</v>
      </c>
      <c r="H14" s="6" t="s">
        <v>94</v>
      </c>
      <c r="I14" s="7" t="s">
        <v>95</v>
      </c>
      <c r="K14" s="6" t="s">
        <v>23</v>
      </c>
      <c r="L14" s="7" t="s">
        <v>24</v>
      </c>
      <c r="M14" s="8" t="s">
        <v>25</v>
      </c>
      <c r="N14" s="11"/>
      <c r="O14" s="10">
        <f t="shared" si="1"/>
        <v>18</v>
      </c>
      <c r="P14" s="10">
        <f>Form_Responses[Month time]*2</f>
        <v>36</v>
      </c>
    </row>
    <row r="15" ht="22.5" customHeight="1">
      <c r="A15" s="5">
        <v>46208.60108659722</v>
      </c>
      <c r="B15" s="6" t="s">
        <v>96</v>
      </c>
      <c r="C15" s="6" t="s">
        <v>35</v>
      </c>
      <c r="D15" s="6" t="s">
        <v>97</v>
      </c>
      <c r="E15" s="6" t="s">
        <v>98</v>
      </c>
      <c r="F15" s="6">
        <v>2024.0</v>
      </c>
      <c r="G15" s="6">
        <v>6.0</v>
      </c>
      <c r="H15" s="6" t="s">
        <v>99</v>
      </c>
      <c r="I15" s="7" t="s">
        <v>100</v>
      </c>
      <c r="J15" s="7" t="s">
        <v>101</v>
      </c>
      <c r="K15" s="6">
        <v>75.0</v>
      </c>
      <c r="L15" s="7" t="s">
        <v>102</v>
      </c>
      <c r="M15" s="8" t="s">
        <v>61</v>
      </c>
      <c r="N15" s="9" t="s">
        <v>103</v>
      </c>
      <c r="O15" s="10">
        <f t="shared" si="1"/>
        <v>25</v>
      </c>
      <c r="P15" s="10">
        <f>Form_Responses[Month time]*2</f>
        <v>50</v>
      </c>
    </row>
    <row r="16" ht="22.5" customHeight="1">
      <c r="A16" s="5">
        <v>46208.83920033565</v>
      </c>
      <c r="B16" s="6" t="s">
        <v>104</v>
      </c>
      <c r="C16" s="6" t="s">
        <v>35</v>
      </c>
      <c r="D16" s="6" t="s">
        <v>105</v>
      </c>
      <c r="E16" s="6" t="s">
        <v>106</v>
      </c>
      <c r="F16" s="6">
        <v>2025.0</v>
      </c>
      <c r="G16" s="6">
        <v>8.0</v>
      </c>
      <c r="H16" s="6" t="s">
        <v>38</v>
      </c>
      <c r="I16" s="7" t="s">
        <v>107</v>
      </c>
      <c r="K16" s="6">
        <v>86.0</v>
      </c>
      <c r="L16" s="7" t="s">
        <v>108</v>
      </c>
      <c r="M16" s="8" t="s">
        <v>25</v>
      </c>
      <c r="N16" s="11"/>
      <c r="O16" s="10">
        <f t="shared" si="1"/>
        <v>11</v>
      </c>
      <c r="P16" s="10">
        <f>Form_Responses[Month time]*2</f>
        <v>22</v>
      </c>
    </row>
    <row r="17" ht="22.5" customHeight="1">
      <c r="A17" s="5">
        <v>46208.84670368055</v>
      </c>
      <c r="B17" s="6" t="s">
        <v>109</v>
      </c>
      <c r="C17" s="6" t="s">
        <v>35</v>
      </c>
      <c r="D17" s="6" t="s">
        <v>110</v>
      </c>
      <c r="E17" s="6" t="s">
        <v>111</v>
      </c>
      <c r="F17" s="6">
        <v>2025.0</v>
      </c>
      <c r="G17" s="6">
        <v>5.0</v>
      </c>
      <c r="H17" s="6" t="s">
        <v>112</v>
      </c>
      <c r="I17" s="7" t="s">
        <v>113</v>
      </c>
      <c r="J17" s="7" t="s">
        <v>114</v>
      </c>
      <c r="K17" s="6" t="s">
        <v>23</v>
      </c>
      <c r="L17" s="7" t="s">
        <v>32</v>
      </c>
      <c r="M17" s="8" t="s">
        <v>25</v>
      </c>
      <c r="N17" s="11"/>
      <c r="O17" s="10">
        <f t="shared" si="1"/>
        <v>14</v>
      </c>
      <c r="P17" s="10">
        <f>Form_Responses[Month time]*2</f>
        <v>28</v>
      </c>
    </row>
    <row r="18" ht="22.5" customHeight="1">
      <c r="A18" s="5">
        <v>46208.973284699074</v>
      </c>
      <c r="B18" s="6" t="s">
        <v>115</v>
      </c>
      <c r="C18" s="6" t="s">
        <v>35</v>
      </c>
      <c r="D18" s="6" t="s">
        <v>116</v>
      </c>
      <c r="E18" s="6" t="s">
        <v>117</v>
      </c>
      <c r="F18" s="6">
        <v>2023.0</v>
      </c>
      <c r="G18" s="6">
        <v>10.0</v>
      </c>
      <c r="H18" s="6" t="s">
        <v>118</v>
      </c>
      <c r="I18" s="7" t="s">
        <v>119</v>
      </c>
      <c r="J18" s="7" t="s">
        <v>120</v>
      </c>
      <c r="K18" s="6" t="s">
        <v>84</v>
      </c>
      <c r="L18" s="7" t="s">
        <v>121</v>
      </c>
      <c r="M18" s="8" t="s">
        <v>25</v>
      </c>
      <c r="N18" s="11"/>
      <c r="O18" s="10">
        <f t="shared" si="1"/>
        <v>33</v>
      </c>
      <c r="P18" s="10">
        <f>Form_Responses[Month time]*2</f>
        <v>66</v>
      </c>
    </row>
    <row r="19" ht="22.5" customHeight="1">
      <c r="A19" s="5">
        <v>46210.848571967595</v>
      </c>
      <c r="B19" s="6" t="s">
        <v>122</v>
      </c>
      <c r="C19" s="6" t="s">
        <v>35</v>
      </c>
      <c r="D19" s="6" t="s">
        <v>123</v>
      </c>
      <c r="E19" s="6" t="s">
        <v>124</v>
      </c>
      <c r="F19" s="6">
        <v>2024.0</v>
      </c>
      <c r="H19" s="6" t="s">
        <v>29</v>
      </c>
      <c r="I19" s="7" t="s">
        <v>125</v>
      </c>
      <c r="K19" s="6" t="s">
        <v>23</v>
      </c>
      <c r="L19" s="7" t="s">
        <v>46</v>
      </c>
      <c r="M19" s="8" t="s">
        <v>25</v>
      </c>
      <c r="N19" s="11"/>
      <c r="O19" s="10">
        <f t="shared" si="1"/>
        <v>31</v>
      </c>
      <c r="P19" s="10">
        <f>Form_Responses[Month time]*2</f>
        <v>62</v>
      </c>
    </row>
    <row r="20" ht="22.5" customHeight="1">
      <c r="A20" s="5">
        <v>46210.93107695602</v>
      </c>
      <c r="B20" s="6" t="s">
        <v>126</v>
      </c>
      <c r="C20" s="6" t="s">
        <v>17</v>
      </c>
      <c r="D20" s="6" t="s">
        <v>127</v>
      </c>
      <c r="E20" s="6" t="s">
        <v>128</v>
      </c>
      <c r="F20" s="6">
        <v>2024.0</v>
      </c>
      <c r="G20" s="6">
        <v>5.0</v>
      </c>
      <c r="H20" s="6" t="s">
        <v>129</v>
      </c>
      <c r="I20" s="7" t="s">
        <v>130</v>
      </c>
      <c r="K20" s="6" t="s">
        <v>23</v>
      </c>
      <c r="L20" s="7" t="s">
        <v>131</v>
      </c>
      <c r="M20" s="8" t="s">
        <v>61</v>
      </c>
      <c r="N20" s="9" t="s">
        <v>132</v>
      </c>
      <c r="O20" s="10">
        <f t="shared" si="1"/>
        <v>26</v>
      </c>
      <c r="P20" s="10">
        <f>Form_Responses[Month time]*2</f>
        <v>52</v>
      </c>
    </row>
    <row r="21" ht="22.5" customHeight="1">
      <c r="A21" s="5">
        <v>46210.98366337963</v>
      </c>
      <c r="B21" s="6" t="s">
        <v>133</v>
      </c>
      <c r="C21" s="6" t="s">
        <v>17</v>
      </c>
      <c r="D21" s="6" t="s">
        <v>127</v>
      </c>
      <c r="E21" s="6" t="s">
        <v>128</v>
      </c>
      <c r="F21" s="6">
        <v>2024.0</v>
      </c>
      <c r="G21" s="6">
        <v>7.0</v>
      </c>
      <c r="H21" s="6" t="s">
        <v>134</v>
      </c>
      <c r="I21" s="7" t="s">
        <v>135</v>
      </c>
      <c r="K21" s="6">
        <v>213.0</v>
      </c>
      <c r="L21" s="7" t="s">
        <v>136</v>
      </c>
      <c r="M21" s="8" t="s">
        <v>25</v>
      </c>
      <c r="N21" s="9" t="s">
        <v>137</v>
      </c>
      <c r="O21" s="10">
        <f t="shared" si="1"/>
        <v>24</v>
      </c>
      <c r="P21" s="10">
        <f>Form_Responses[Month time]*2</f>
        <v>48</v>
      </c>
    </row>
    <row r="22" ht="22.5" customHeight="1">
      <c r="A22" s="5">
        <v>46211.944105925926</v>
      </c>
      <c r="B22" s="6" t="s">
        <v>138</v>
      </c>
      <c r="C22" s="6" t="s">
        <v>17</v>
      </c>
      <c r="D22" s="6" t="s">
        <v>139</v>
      </c>
      <c r="E22" s="6" t="s">
        <v>140</v>
      </c>
      <c r="F22" s="6">
        <v>2024.0</v>
      </c>
      <c r="G22" s="6">
        <v>6.0</v>
      </c>
      <c r="H22" s="6" t="s">
        <v>29</v>
      </c>
      <c r="I22" s="7" t="s">
        <v>141</v>
      </c>
      <c r="J22" s="7" t="s">
        <v>142</v>
      </c>
      <c r="K22" s="6" t="s">
        <v>23</v>
      </c>
      <c r="L22" s="7" t="s">
        <v>46</v>
      </c>
      <c r="M22" s="8" t="s">
        <v>25</v>
      </c>
      <c r="O22" s="10">
        <f t="shared" si="1"/>
        <v>25</v>
      </c>
      <c r="P22" s="10">
        <f>Form_Responses[Month time]*2</f>
        <v>50</v>
      </c>
    </row>
    <row r="23" ht="22.5" customHeight="1">
      <c r="A23" s="5">
        <v>46214.556632685184</v>
      </c>
      <c r="B23" s="6" t="s">
        <v>143</v>
      </c>
      <c r="C23" s="6" t="s">
        <v>17</v>
      </c>
      <c r="D23" s="6" t="s">
        <v>144</v>
      </c>
      <c r="E23" s="6" t="s">
        <v>145</v>
      </c>
      <c r="F23" s="6">
        <v>2024.0</v>
      </c>
      <c r="G23" s="6">
        <v>7.0</v>
      </c>
      <c r="H23" s="6" t="s">
        <v>50</v>
      </c>
      <c r="I23" s="7" t="s">
        <v>146</v>
      </c>
      <c r="K23" s="6" t="s">
        <v>23</v>
      </c>
      <c r="L23" s="7" t="s">
        <v>53</v>
      </c>
      <c r="M23" s="8" t="s">
        <v>25</v>
      </c>
      <c r="O23" s="10">
        <f t="shared" si="1"/>
        <v>24</v>
      </c>
      <c r="P23" s="10">
        <f>Form_Responses[Month time]*2</f>
        <v>48</v>
      </c>
    </row>
    <row r="24" ht="22.5" customHeight="1">
      <c r="A24" s="5">
        <v>46214.95120938658</v>
      </c>
      <c r="B24" s="6" t="s">
        <v>147</v>
      </c>
      <c r="C24" s="6" t="s">
        <v>35</v>
      </c>
      <c r="D24" s="6" t="s">
        <v>97</v>
      </c>
      <c r="E24" s="6" t="s">
        <v>148</v>
      </c>
      <c r="F24" s="6">
        <v>2024.0</v>
      </c>
      <c r="G24" s="6">
        <v>6.0</v>
      </c>
      <c r="H24" s="6" t="s">
        <v>149</v>
      </c>
      <c r="I24" s="7" t="s">
        <v>150</v>
      </c>
      <c r="J24" s="7" t="s">
        <v>151</v>
      </c>
      <c r="K24" s="6" t="s">
        <v>23</v>
      </c>
      <c r="L24" s="7" t="s">
        <v>46</v>
      </c>
      <c r="M24" s="8" t="s">
        <v>25</v>
      </c>
      <c r="O24" s="10">
        <f t="shared" si="1"/>
        <v>25</v>
      </c>
      <c r="P24" s="10">
        <f>Form_Responses[Month time]*2</f>
        <v>50</v>
      </c>
    </row>
    <row r="25" ht="22.5" customHeight="1">
      <c r="A25" s="5">
        <v>46222.72094642361</v>
      </c>
      <c r="B25" s="6" t="s">
        <v>152</v>
      </c>
      <c r="C25" s="6" t="s">
        <v>35</v>
      </c>
      <c r="D25" s="6" t="s">
        <v>153</v>
      </c>
      <c r="E25" s="6" t="s">
        <v>154</v>
      </c>
      <c r="F25" s="6">
        <v>2024.0</v>
      </c>
      <c r="G25" s="6">
        <v>6.0</v>
      </c>
      <c r="H25" s="6" t="s">
        <v>29</v>
      </c>
      <c r="I25" s="7" t="s">
        <v>155</v>
      </c>
      <c r="K25" s="6" t="s">
        <v>23</v>
      </c>
      <c r="L25" s="7" t="s">
        <v>46</v>
      </c>
      <c r="M25" s="8" t="s">
        <v>25</v>
      </c>
      <c r="O25" s="10">
        <f t="shared" si="1"/>
        <v>25</v>
      </c>
      <c r="P25" s="10">
        <f>Form_Responses[Month time]*2</f>
        <v>50</v>
      </c>
    </row>
    <row r="26" ht="22.5" customHeight="1">
      <c r="A26" s="5">
        <v>46224.39399327546</v>
      </c>
      <c r="B26" s="6" t="s">
        <v>156</v>
      </c>
      <c r="C26" s="6" t="s">
        <v>17</v>
      </c>
      <c r="D26" s="6" t="s">
        <v>157</v>
      </c>
      <c r="E26" s="6" t="s">
        <v>158</v>
      </c>
      <c r="F26" s="6">
        <v>2024.0</v>
      </c>
      <c r="G26" s="6">
        <v>6.0</v>
      </c>
      <c r="H26" s="6" t="s">
        <v>29</v>
      </c>
      <c r="I26" s="7" t="s">
        <v>159</v>
      </c>
      <c r="J26" s="7" t="s">
        <v>160</v>
      </c>
      <c r="K26" s="6" t="s">
        <v>23</v>
      </c>
      <c r="L26" s="7" t="s">
        <v>46</v>
      </c>
      <c r="M26" s="8" t="s">
        <v>25</v>
      </c>
      <c r="O26" s="10">
        <f t="shared" si="1"/>
        <v>25</v>
      </c>
      <c r="P26" s="10">
        <f>Form_Responses[Month time]*2</f>
        <v>50</v>
      </c>
    </row>
    <row r="27" ht="22.5" customHeight="1">
      <c r="A27" s="5">
        <v>46228.91422368056</v>
      </c>
      <c r="B27" s="6" t="s">
        <v>161</v>
      </c>
      <c r="C27" s="6" t="s">
        <v>35</v>
      </c>
      <c r="D27" s="6" t="s">
        <v>55</v>
      </c>
      <c r="E27" s="6" t="s">
        <v>162</v>
      </c>
      <c r="F27" s="6">
        <v>2024.0</v>
      </c>
      <c r="G27" s="6">
        <v>7.0</v>
      </c>
      <c r="H27" s="6" t="s">
        <v>163</v>
      </c>
      <c r="I27" s="7" t="s">
        <v>164</v>
      </c>
      <c r="K27" s="6" t="s">
        <v>84</v>
      </c>
      <c r="L27" s="7" t="s">
        <v>165</v>
      </c>
      <c r="M27" s="8" t="s">
        <v>166</v>
      </c>
      <c r="O27" s="10">
        <f t="shared" si="1"/>
        <v>24</v>
      </c>
      <c r="P27" s="10">
        <f>Form_Responses[Month time]*2</f>
        <v>48</v>
      </c>
    </row>
    <row r="28" ht="22.5" customHeight="1">
      <c r="A28" s="5">
        <v>46229.59223394676</v>
      </c>
      <c r="B28" s="6" t="s">
        <v>167</v>
      </c>
      <c r="C28" s="6" t="s">
        <v>17</v>
      </c>
      <c r="D28" s="6" t="s">
        <v>168</v>
      </c>
      <c r="E28" s="6" t="s">
        <v>169</v>
      </c>
      <c r="F28" s="6">
        <v>2023.0</v>
      </c>
      <c r="H28" s="6" t="s">
        <v>170</v>
      </c>
      <c r="I28" s="7" t="s">
        <v>171</v>
      </c>
      <c r="K28" s="6" t="s">
        <v>84</v>
      </c>
      <c r="L28" s="7" t="s">
        <v>172</v>
      </c>
      <c r="M28" s="8" t="s">
        <v>25</v>
      </c>
      <c r="O28" s="10">
        <f t="shared" si="1"/>
        <v>43</v>
      </c>
      <c r="P28" s="10">
        <f>Form_Responses[Month time]*2</f>
        <v>86</v>
      </c>
    </row>
    <row r="29" ht="22.5" customHeight="1">
      <c r="A29" s="5">
        <v>46229.89215702546</v>
      </c>
      <c r="B29" s="6" t="s">
        <v>173</v>
      </c>
      <c r="C29" s="6" t="s">
        <v>17</v>
      </c>
      <c r="D29" s="6" t="s">
        <v>174</v>
      </c>
      <c r="E29" s="6" t="s">
        <v>175</v>
      </c>
      <c r="F29" s="6">
        <v>2023.0</v>
      </c>
      <c r="G29" s="6">
        <v>10.0</v>
      </c>
      <c r="H29" s="6" t="s">
        <v>176</v>
      </c>
      <c r="I29" s="7" t="s">
        <v>177</v>
      </c>
      <c r="K29" s="6" t="s">
        <v>23</v>
      </c>
      <c r="L29" s="7" t="s">
        <v>178</v>
      </c>
      <c r="M29" s="8" t="s">
        <v>25</v>
      </c>
      <c r="O29" s="10">
        <f t="shared" si="1"/>
        <v>33</v>
      </c>
      <c r="P29" s="10">
        <f>Form_Responses[Month time]*2</f>
        <v>66</v>
      </c>
    </row>
    <row r="30" ht="22.5" customHeight="1">
      <c r="A30" s="5">
        <v>46230.999148125</v>
      </c>
      <c r="B30" s="6" t="s">
        <v>179</v>
      </c>
      <c r="C30" s="6" t="s">
        <v>17</v>
      </c>
      <c r="D30" s="6" t="s">
        <v>180</v>
      </c>
      <c r="E30" s="6" t="s">
        <v>181</v>
      </c>
      <c r="F30" s="6">
        <v>2024.0</v>
      </c>
      <c r="G30" s="6">
        <v>11.0</v>
      </c>
      <c r="H30" s="6" t="s">
        <v>38</v>
      </c>
      <c r="I30" s="7" t="s">
        <v>182</v>
      </c>
      <c r="J30" s="7" t="s">
        <v>183</v>
      </c>
      <c r="K30" s="6">
        <v>3345.0</v>
      </c>
      <c r="L30" s="7" t="s">
        <v>184</v>
      </c>
      <c r="M30" s="8" t="s">
        <v>25</v>
      </c>
      <c r="O30" s="10">
        <f t="shared" si="1"/>
        <v>20</v>
      </c>
      <c r="P30" s="10">
        <f>Form_Responses[Month time]*2</f>
        <v>40</v>
      </c>
    </row>
    <row r="31" ht="22.5" customHeight="1">
      <c r="A31" s="5">
        <v>46231.48326357639</v>
      </c>
      <c r="B31" s="6" t="s">
        <v>185</v>
      </c>
      <c r="C31" s="6" t="s">
        <v>17</v>
      </c>
      <c r="D31" s="6" t="s">
        <v>186</v>
      </c>
      <c r="E31" s="6" t="s">
        <v>187</v>
      </c>
      <c r="F31" s="6">
        <v>2023.0</v>
      </c>
      <c r="H31" s="6">
        <v>11.0</v>
      </c>
      <c r="I31" s="7" t="s">
        <v>188</v>
      </c>
      <c r="K31" s="6">
        <v>1188.0</v>
      </c>
      <c r="L31" s="7" t="s">
        <v>189</v>
      </c>
      <c r="M31" s="8" t="s">
        <v>25</v>
      </c>
      <c r="N31" s="6" t="s">
        <v>190</v>
      </c>
      <c r="O31" s="10">
        <f t="shared" si="1"/>
        <v>43</v>
      </c>
      <c r="P31" s="10">
        <f>Form_Responses[Month time]*2</f>
        <v>86</v>
      </c>
    </row>
    <row r="32" ht="22.5" customHeight="1">
      <c r="A32" s="5">
        <v>46232.96908201389</v>
      </c>
      <c r="B32" s="6" t="s">
        <v>191</v>
      </c>
      <c r="C32" s="6" t="s">
        <v>17</v>
      </c>
      <c r="D32" s="6" t="s">
        <v>192</v>
      </c>
      <c r="E32" s="6" t="s">
        <v>193</v>
      </c>
      <c r="F32" s="6">
        <v>2025.0</v>
      </c>
      <c r="G32" s="6">
        <v>11.0</v>
      </c>
      <c r="H32" s="6" t="s">
        <v>194</v>
      </c>
      <c r="I32" s="7" t="s">
        <v>195</v>
      </c>
      <c r="K32" s="6" t="s">
        <v>23</v>
      </c>
      <c r="L32" s="7" t="s">
        <v>178</v>
      </c>
      <c r="M32" s="8" t="s">
        <v>25</v>
      </c>
      <c r="O32" s="10">
        <f t="shared" si="1"/>
        <v>8</v>
      </c>
      <c r="P32" s="10">
        <f>Form_Responses[Month time]*2</f>
        <v>16</v>
      </c>
    </row>
    <row r="33" ht="22.5" customHeight="1">
      <c r="A33" s="5">
        <v>46233.026380763884</v>
      </c>
      <c r="B33" s="6" t="s">
        <v>196</v>
      </c>
      <c r="C33" s="6" t="s">
        <v>17</v>
      </c>
      <c r="D33" s="6" t="s">
        <v>197</v>
      </c>
      <c r="E33" s="6" t="s">
        <v>198</v>
      </c>
      <c r="F33" s="6">
        <v>2024.0</v>
      </c>
      <c r="G33" s="6">
        <v>6.0</v>
      </c>
      <c r="H33" s="7" t="s">
        <v>199</v>
      </c>
      <c r="I33" s="7" t="s">
        <v>200</v>
      </c>
      <c r="K33" s="6" t="s">
        <v>23</v>
      </c>
      <c r="L33" s="7" t="s">
        <v>201</v>
      </c>
      <c r="M33" s="8" t="s">
        <v>25</v>
      </c>
      <c r="O33" s="10">
        <f t="shared" si="1"/>
        <v>25</v>
      </c>
      <c r="P33" s="10">
        <f>Form_Responses[Month time]*2</f>
        <v>50</v>
      </c>
    </row>
    <row r="34" ht="22.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3" t="s">
        <v>166</v>
      </c>
      <c r="N34" s="14"/>
      <c r="O34" s="10" t="str">
        <f t="shared" si="1"/>
        <v>#NUM!</v>
      </c>
      <c r="P34" s="12" t="str">
        <f>Form_Responses[Month time]*2</f>
        <v>#NUM!</v>
      </c>
    </row>
    <row r="35">
      <c r="N35" s="15"/>
    </row>
    <row r="36">
      <c r="N36" s="15"/>
    </row>
    <row r="37">
      <c r="N37" s="15"/>
    </row>
    <row r="38">
      <c r="N38" s="15"/>
    </row>
    <row r="39">
      <c r="N39" s="15"/>
    </row>
    <row r="40">
      <c r="N40" s="15"/>
    </row>
    <row r="41">
      <c r="N41" s="15"/>
    </row>
    <row r="42">
      <c r="N42" s="15"/>
    </row>
    <row r="43">
      <c r="N43" s="15"/>
    </row>
    <row r="44">
      <c r="N44" s="15"/>
    </row>
    <row r="45">
      <c r="N45" s="15"/>
    </row>
    <row r="46">
      <c r="N46" s="15"/>
    </row>
    <row r="47">
      <c r="N47" s="15"/>
    </row>
    <row r="48">
      <c r="N48" s="15"/>
    </row>
    <row r="49">
      <c r="N49" s="15"/>
    </row>
    <row r="50">
      <c r="N50" s="15"/>
    </row>
    <row r="51">
      <c r="N51" s="15"/>
    </row>
    <row r="52">
      <c r="N52" s="15"/>
    </row>
    <row r="53">
      <c r="N53" s="15"/>
    </row>
    <row r="54">
      <c r="N54" s="15"/>
    </row>
    <row r="55">
      <c r="N55" s="15"/>
    </row>
    <row r="56">
      <c r="N56" s="15"/>
    </row>
    <row r="57">
      <c r="N57" s="15"/>
    </row>
    <row r="58">
      <c r="N58" s="15"/>
    </row>
    <row r="59">
      <c r="N59" s="15"/>
    </row>
    <row r="60">
      <c r="N60" s="15"/>
    </row>
    <row r="61">
      <c r="N61" s="15"/>
    </row>
    <row r="62">
      <c r="N62" s="15"/>
    </row>
    <row r="63">
      <c r="N63" s="15"/>
    </row>
    <row r="64">
      <c r="N64" s="15"/>
    </row>
    <row r="65">
      <c r="N65" s="15"/>
    </row>
    <row r="66">
      <c r="N66" s="15"/>
    </row>
    <row r="67">
      <c r="N67" s="15"/>
    </row>
    <row r="68">
      <c r="N68" s="15"/>
    </row>
    <row r="69">
      <c r="N69" s="15"/>
    </row>
    <row r="70">
      <c r="N70" s="15"/>
    </row>
    <row r="71">
      <c r="N71" s="15"/>
    </row>
    <row r="72">
      <c r="N72" s="15"/>
    </row>
    <row r="73">
      <c r="N73" s="15"/>
    </row>
    <row r="74">
      <c r="N74" s="15"/>
    </row>
    <row r="75">
      <c r="N75" s="15"/>
    </row>
    <row r="76">
      <c r="N76" s="15"/>
    </row>
    <row r="77">
      <c r="N77" s="15"/>
    </row>
    <row r="78">
      <c r="N78" s="15"/>
    </row>
    <row r="79">
      <c r="N79" s="15"/>
    </row>
    <row r="80">
      <c r="N80" s="15"/>
    </row>
    <row r="81">
      <c r="N81" s="15"/>
    </row>
    <row r="82">
      <c r="N82" s="15"/>
    </row>
    <row r="83">
      <c r="N83" s="15"/>
    </row>
    <row r="84">
      <c r="N84" s="15"/>
    </row>
    <row r="85">
      <c r="N85" s="15"/>
    </row>
    <row r="86">
      <c r="N86" s="15"/>
    </row>
    <row r="87">
      <c r="N87" s="15"/>
    </row>
    <row r="88">
      <c r="N88" s="15"/>
    </row>
    <row r="89">
      <c r="N89" s="15"/>
    </row>
    <row r="90">
      <c r="N90" s="15"/>
    </row>
    <row r="91">
      <c r="N91" s="15"/>
    </row>
    <row r="92">
      <c r="N92" s="15"/>
    </row>
    <row r="93">
      <c r="N93" s="15"/>
    </row>
    <row r="94">
      <c r="N94" s="15"/>
    </row>
    <row r="95">
      <c r="N95" s="15"/>
    </row>
    <row r="96">
      <c r="N96" s="15"/>
    </row>
    <row r="97">
      <c r="N97" s="15"/>
    </row>
    <row r="98">
      <c r="N98" s="15"/>
    </row>
    <row r="99">
      <c r="N99" s="15"/>
    </row>
    <row r="100">
      <c r="N100" s="15"/>
    </row>
    <row r="101">
      <c r="N101" s="15"/>
    </row>
    <row r="102">
      <c r="N102" s="15"/>
    </row>
    <row r="103">
      <c r="N103" s="15"/>
    </row>
    <row r="104">
      <c r="N104" s="15"/>
    </row>
    <row r="105">
      <c r="N105" s="15"/>
    </row>
    <row r="106">
      <c r="N106" s="15"/>
    </row>
    <row r="107">
      <c r="N107" s="15"/>
    </row>
    <row r="108">
      <c r="N108" s="15"/>
    </row>
    <row r="109">
      <c r="N109" s="15"/>
    </row>
    <row r="110">
      <c r="N110" s="15"/>
    </row>
    <row r="111">
      <c r="N111" s="15"/>
    </row>
    <row r="112">
      <c r="N112" s="15"/>
    </row>
    <row r="113">
      <c r="N113" s="15"/>
    </row>
    <row r="114">
      <c r="N114" s="15"/>
    </row>
    <row r="115">
      <c r="N115" s="15"/>
    </row>
    <row r="116">
      <c r="N116" s="15"/>
    </row>
    <row r="117">
      <c r="N117" s="15"/>
    </row>
    <row r="118">
      <c r="N118" s="15"/>
    </row>
    <row r="119">
      <c r="N119" s="15"/>
    </row>
    <row r="120">
      <c r="N120" s="15"/>
    </row>
    <row r="121">
      <c r="N121" s="15"/>
    </row>
    <row r="122">
      <c r="N122" s="15"/>
    </row>
    <row r="123">
      <c r="N123" s="15"/>
    </row>
    <row r="124">
      <c r="N124" s="15"/>
    </row>
    <row r="125">
      <c r="N125" s="15"/>
    </row>
    <row r="126">
      <c r="N126" s="15"/>
    </row>
    <row r="127">
      <c r="N127" s="15"/>
    </row>
    <row r="128">
      <c r="N128" s="15"/>
    </row>
    <row r="129">
      <c r="N129" s="15"/>
    </row>
    <row r="130">
      <c r="N130" s="15"/>
    </row>
    <row r="131">
      <c r="N131" s="15"/>
    </row>
    <row r="132">
      <c r="N132" s="15"/>
    </row>
    <row r="133">
      <c r="N133" s="15"/>
    </row>
  </sheetData>
  <dataValidations>
    <dataValidation type="list" allowBlank="1" sqref="M2:M34">
      <formula1>"Accepted,Rejected,Reviewing"</formula1>
    </dataValidation>
  </dataValidations>
  <hyperlinks>
    <hyperlink r:id="rId1" ref="I2"/>
    <hyperlink r:id="rId2" ref="J2"/>
    <hyperlink r:id="rId3" ref="L2"/>
    <hyperlink r:id="rId4" ref="I3"/>
    <hyperlink r:id="rId5" ref="J3"/>
    <hyperlink r:id="rId6" ref="L3"/>
    <hyperlink r:id="rId7" ref="I4"/>
    <hyperlink r:id="rId8" ref="L4"/>
    <hyperlink r:id="rId9" ref="I5"/>
    <hyperlink r:id="rId10" ref="J5"/>
    <hyperlink r:id="rId11" ref="L5"/>
    <hyperlink r:id="rId12" ref="I6"/>
    <hyperlink r:id="rId13" ref="J6"/>
    <hyperlink r:id="rId14" ref="L6"/>
    <hyperlink r:id="rId15" ref="I7"/>
    <hyperlink r:id="rId16" ref="J7"/>
    <hyperlink r:id="rId17" ref="L7"/>
    <hyperlink r:id="rId18" ref="I8"/>
    <hyperlink r:id="rId19" ref="L8"/>
    <hyperlink r:id="rId20" ref="I9"/>
    <hyperlink r:id="rId21" ref="J9"/>
    <hyperlink r:id="rId22" ref="L9"/>
    <hyperlink r:id="rId23" ref="I10"/>
    <hyperlink r:id="rId24" ref="L10"/>
    <hyperlink r:id="rId25" ref="I11"/>
    <hyperlink r:id="rId26" ref="L11"/>
    <hyperlink r:id="rId27" ref="I12"/>
    <hyperlink r:id="rId28" ref="L12"/>
    <hyperlink r:id="rId29" ref="I13"/>
    <hyperlink r:id="rId30" ref="L13"/>
    <hyperlink r:id="rId31" ref="I14"/>
    <hyperlink r:id="rId32" ref="L14"/>
    <hyperlink r:id="rId33" ref="I15"/>
    <hyperlink r:id="rId34" ref="J15"/>
    <hyperlink r:id="rId35" location="d=gs_qabs&amp;t=1783236161776&amp;u=%23p%3DMWBGdc0Z6kkJ" ref="L15"/>
    <hyperlink r:id="rId36" location="discussion" ref="I16"/>
    <hyperlink r:id="rId37" ref="L16"/>
    <hyperlink r:id="rId38" ref="I17"/>
    <hyperlink r:id="rId39" ref="J17"/>
    <hyperlink r:id="rId40" ref="L17"/>
    <hyperlink r:id="rId41" ref="I18"/>
    <hyperlink r:id="rId42" ref="J18"/>
    <hyperlink r:id="rId43" ref="L18"/>
    <hyperlink r:id="rId44" ref="I19"/>
    <hyperlink r:id="rId45" ref="L19"/>
    <hyperlink r:id="rId46" ref="I20"/>
    <hyperlink r:id="rId47" ref="L20"/>
    <hyperlink r:id="rId48" ref="I21"/>
    <hyperlink r:id="rId49" ref="L21"/>
    <hyperlink r:id="rId50" ref="I22"/>
    <hyperlink r:id="rId51" ref="J22"/>
    <hyperlink r:id="rId52" ref="L22"/>
    <hyperlink r:id="rId53" ref="I23"/>
    <hyperlink r:id="rId54" ref="L23"/>
    <hyperlink r:id="rId55" ref="I24"/>
    <hyperlink r:id="rId56" ref="J24"/>
    <hyperlink r:id="rId57" ref="L24"/>
    <hyperlink r:id="rId58" ref="I25"/>
    <hyperlink r:id="rId59" ref="L25"/>
    <hyperlink r:id="rId60" ref="I26"/>
    <hyperlink r:id="rId61" ref="J26"/>
    <hyperlink r:id="rId62" ref="L26"/>
    <hyperlink r:id="rId63" ref="I27"/>
    <hyperlink r:id="rId64" ref="L27"/>
    <hyperlink r:id="rId65" ref="I28"/>
    <hyperlink r:id="rId66" ref="L28"/>
    <hyperlink r:id="rId67" ref="I29"/>
    <hyperlink r:id="rId68" ref="L29"/>
    <hyperlink r:id="rId69" ref="I30"/>
    <hyperlink r:id="rId70" ref="J30"/>
    <hyperlink r:id="rId71" ref="L30"/>
    <hyperlink r:id="rId72" ref="I31"/>
    <hyperlink r:id="rId73" ref="L31"/>
    <hyperlink r:id="rId74" ref="I32"/>
    <hyperlink r:id="rId75" ref="L32"/>
    <hyperlink r:id="rId76" ref="H33"/>
    <hyperlink r:id="rId77" ref="I33"/>
    <hyperlink r:id="rId78" ref="L33"/>
  </hyperlinks>
  <drawing r:id="rId79"/>
  <tableParts count="1">
    <tablePart r:id="rId81"/>
  </tableParts>
</worksheet>
</file>